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<sst xmlns="http://schemas.openxmlformats.org/spreadsheetml/2006/main" count="70" uniqueCount="42">
  <si>
    <t xml:space="preserve">Item #</t>
  </si>
  <si>
    <t xml:space="preserve">Part Name</t>
  </si>
  <si>
    <t xml:space="preserve">Description</t>
  </si>
  <si>
    <t xml:space="preserve">Quantity</t>
  </si>
  <si>
    <t xml:space="preserve">Unit</t>
  </si>
  <si>
    <t xml:space="preserve">Unit Cost</t>
  </si>
  <si>
    <t xml:space="preserve">Total Cost</t>
  </si>
  <si>
    <t xml:space="preserve">Supplier 1</t>
  </si>
  <si>
    <t xml:space="preserve">Part Number 1</t>
  </si>
  <si>
    <t xml:space="preserve">Supplier 2</t>
  </si>
  <si>
    <t xml:space="preserve">Part number 2</t>
  </si>
  <si>
    <t xml:space="preserve">Notes</t>
  </si>
  <si>
    <t xml:space="preserve">SMT32F103</t>
  </si>
  <si>
    <t xml:space="preserve">ARM-based, 32 bits MCU, 64/128KB </t>
  </si>
  <si>
    <t xml:space="preserve">pc(s)</t>
  </si>
  <si>
    <t xml:space="preserve">STMicroelectronics</t>
  </si>
  <si>
    <t xml:space="preserve">STM32F103CBT6</t>
  </si>
  <si>
    <t xml:space="preserve">Digikey</t>
  </si>
  <si>
    <t xml:space="preserve">497-11515-ND</t>
  </si>
  <si>
    <t xml:space="preserve">Adafruit motor</t>
  </si>
  <si>
    <t xml:space="preserve">Moteur électrique avec gearbox</t>
  </si>
  <si>
    <t xml:space="preserve">Le ef-130m-3vdc n'offrait pas assez de torque</t>
  </si>
  <si>
    <t xml:space="preserve">MOSFET Type P</t>
  </si>
  <si>
    <t xml:space="preserve">Transistor MOSFET Canal P</t>
  </si>
  <si>
    <t xml:space="preserve">8MHz Cristale</t>
  </si>
  <si>
    <t xml:space="preserve">Cristale de 8MHz</t>
  </si>
  <si>
    <t xml:space="preserve">Bouton</t>
  </si>
  <si>
    <t xml:space="preserve">Bouton pression</t>
  </si>
  <si>
    <t xml:space="preserve">LTD-6940HR</t>
  </si>
  <si>
    <t xml:space="preserve">Affichage double 7 segments LED rouge</t>
  </si>
  <si>
    <t xml:space="preserve">160-1927-5-ND</t>
  </si>
  <si>
    <t xml:space="preserve">Quantité peut monter à 3 pour réduire le prix</t>
  </si>
  <si>
    <t xml:space="preserve">LTD-4608JF</t>
  </si>
  <si>
    <t xml:space="preserve">Affichage double 7 segments LED  jaune</t>
  </si>
  <si>
    <t xml:space="preserve">160-1536-5-ND</t>
  </si>
  <si>
    <t xml:space="preserve">Peut être remplacé par un rouge </t>
  </si>
  <si>
    <t xml:space="preserve">LTS-4802BJR-H1</t>
  </si>
  <si>
    <t xml:space="preserve">Affichage 7 segments LED verte</t>
  </si>
  <si>
    <t xml:space="preserve">160-1575-5-ND</t>
  </si>
  <si>
    <t xml:space="preserve">port mini usb</t>
  </si>
  <si>
    <t xml:space="preserve">sn74AHC04N</t>
  </si>
  <si>
    <t xml:space="preserve">Logic NOT gate de texas instrument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</si>
</sst>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b val="true"/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OM_Table" displayName="BOM_Table" ref="A1:L23" headerRowCount="1" totalsRowCount="0" totalsRowShown="0">
  <autoFilter ref="A1:L23"/>
  <tableColumns count="12">
    <tableColumn id="1" name="Item #"/>
    <tableColumn id="2" name="Part Name"/>
    <tableColumn id="3" name="Description"/>
    <tableColumn id="4" name="Quantity"/>
    <tableColumn id="5" name="Unit"/>
    <tableColumn id="6" name="Unit Cost"/>
    <tableColumn id="7" name="Total Cost"/>
    <tableColumn id="8" name="Supplier 1"/>
    <tableColumn id="9" name="Part Number 1"/>
    <tableColumn id="10" name="Supplier 2"/>
    <tableColumn id="11" name="Part number 2"/>
    <tableColumn id="12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9.14062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36.71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11" min="8" style="0" width="20"/>
    <col collapsed="false" customWidth="true" hidden="false" outlineLevel="0" max="12" min="12" style="0" width="5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</row>
    <row r="2" customFormat="false" ht="15" hidden="false" customHeight="false" outlineLevel="0" collapsed="false">
      <c r="A2" s="0" t="n">
        <v>1</v>
      </c>
      <c r="B2" s="0" t="s">
        <v>12</v>
      </c>
      <c r="C2" s="0" t="s">
        <v>13</v>
      </c>
      <c r="D2" s="0" t="n">
        <v>1</v>
      </c>
      <c r="E2" s="0" t="s">
        <v>14</v>
      </c>
      <c r="F2" s="0" t="n">
        <v>8.43</v>
      </c>
      <c r="G2" s="0" t="n">
        <f aca="false">D2*F2</f>
        <v>8.43</v>
      </c>
      <c r="H2" s="0" t="s">
        <v>15</v>
      </c>
      <c r="I2" s="0" t="s">
        <v>16</v>
      </c>
      <c r="J2" s="0" t="s">
        <v>17</v>
      </c>
      <c r="K2" s="0" t="s">
        <v>18</v>
      </c>
    </row>
    <row r="3" customFormat="false" ht="15" hidden="false" customHeight="false" outlineLevel="0" collapsed="false">
      <c r="A3" s="0" t="n">
        <v>2</v>
      </c>
      <c r="B3" s="0" t="s">
        <v>19</v>
      </c>
      <c r="C3" s="0" t="s">
        <v>20</v>
      </c>
      <c r="D3" s="0" t="n">
        <v>1</v>
      </c>
      <c r="E3" s="0" t="s">
        <v>14</v>
      </c>
      <c r="G3" s="0" t="n">
        <f aca="false">D3*F3</f>
        <v>0</v>
      </c>
      <c r="L3" s="0" t="s">
        <v>21</v>
      </c>
    </row>
    <row r="4" customFormat="false" ht="15" hidden="false" customHeight="false" outlineLevel="0" collapsed="false">
      <c r="A4" s="0" t="n">
        <v>3</v>
      </c>
      <c r="B4" s="0" t="s">
        <v>22</v>
      </c>
      <c r="C4" s="0" t="s">
        <v>23</v>
      </c>
      <c r="D4" s="0" t="n">
        <v>1</v>
      </c>
      <c r="E4" s="0" t="s">
        <v>14</v>
      </c>
      <c r="G4" s="0" t="n">
        <f aca="false">D4*F4</f>
        <v>0</v>
      </c>
      <c r="J4" s="0" t="s">
        <v>17</v>
      </c>
    </row>
    <row r="5" customFormat="false" ht="15" hidden="false" customHeight="false" outlineLevel="0" collapsed="false">
      <c r="A5" s="0" t="n">
        <v>4</v>
      </c>
      <c r="B5" s="0" t="s">
        <v>24</v>
      </c>
      <c r="C5" s="0" t="s">
        <v>25</v>
      </c>
      <c r="D5" s="0" t="n">
        <v>1</v>
      </c>
      <c r="E5" s="0" t="s">
        <v>14</v>
      </c>
      <c r="G5" s="0" t="n">
        <f aca="false">D5*F5</f>
        <v>0</v>
      </c>
      <c r="J5" s="0" t="s">
        <v>17</v>
      </c>
    </row>
    <row r="6" customFormat="false" ht="15" hidden="false" customHeight="false" outlineLevel="0" collapsed="false">
      <c r="A6" s="0" t="n">
        <v>5</v>
      </c>
      <c r="B6" s="0" t="s">
        <v>26</v>
      </c>
      <c r="C6" s="0" t="s">
        <v>27</v>
      </c>
      <c r="E6" s="0" t="s">
        <v>14</v>
      </c>
      <c r="G6" s="0" t="n">
        <f aca="false">D6*F6</f>
        <v>0</v>
      </c>
      <c r="J6" s="0" t="s">
        <v>17</v>
      </c>
    </row>
    <row r="7" customFormat="false" ht="15" hidden="false" customHeight="false" outlineLevel="0" collapsed="false">
      <c r="A7" s="0" t="n">
        <v>6</v>
      </c>
      <c r="B7" s="0" t="s">
        <v>28</v>
      </c>
      <c r="C7" s="0" t="s">
        <v>29</v>
      </c>
      <c r="D7" s="0" t="n">
        <v>2</v>
      </c>
      <c r="E7" s="0" t="s">
        <v>14</v>
      </c>
      <c r="F7" s="0" t="n">
        <v>2.45</v>
      </c>
      <c r="G7" s="0" t="n">
        <f aca="false">D7*F7</f>
        <v>4.9</v>
      </c>
      <c r="J7" s="0" t="s">
        <v>17</v>
      </c>
      <c r="K7" s="0" t="s">
        <v>30</v>
      </c>
      <c r="L7" s="0" t="s">
        <v>31</v>
      </c>
    </row>
    <row r="8" customFormat="false" ht="15" hidden="false" customHeight="false" outlineLevel="0" collapsed="false">
      <c r="A8" s="0" t="n">
        <v>7</v>
      </c>
      <c r="B8" s="0" t="s">
        <v>32</v>
      </c>
      <c r="C8" s="0" t="s">
        <v>33</v>
      </c>
      <c r="D8" s="0" t="n">
        <v>1</v>
      </c>
      <c r="E8" s="0" t="s">
        <v>14</v>
      </c>
      <c r="F8" s="0" t="n">
        <v>3.28</v>
      </c>
      <c r="G8" s="0" t="n">
        <f aca="false">D8*F8</f>
        <v>3.28</v>
      </c>
      <c r="J8" s="0" t="s">
        <v>17</v>
      </c>
      <c r="K8" s="0" t="s">
        <v>34</v>
      </c>
      <c r="L8" s="0" t="s">
        <v>35</v>
      </c>
    </row>
    <row r="9" customFormat="false" ht="15" hidden="false" customHeight="false" outlineLevel="0" collapsed="false">
      <c r="A9" s="0" t="n">
        <v>8</v>
      </c>
      <c r="B9" s="0" t="s">
        <v>36</v>
      </c>
      <c r="C9" s="0" t="s">
        <v>37</v>
      </c>
      <c r="D9" s="0" t="n">
        <v>1</v>
      </c>
      <c r="E9" s="0" t="s">
        <v>14</v>
      </c>
      <c r="F9" s="0" t="n">
        <v>0.87</v>
      </c>
      <c r="G9" s="0" t="n">
        <f aca="false">D9*F9</f>
        <v>0.87</v>
      </c>
      <c r="J9" s="0" t="s">
        <v>17</v>
      </c>
      <c r="K9" s="0" t="s">
        <v>38</v>
      </c>
      <c r="L9" s="0" t="s">
        <v>35</v>
      </c>
    </row>
    <row r="10" customFormat="false" ht="15" hidden="false" customHeight="false" outlineLevel="0" collapsed="false">
      <c r="A10" s="0" t="n">
        <v>9</v>
      </c>
      <c r="B10" s="0" t="s">
        <v>39</v>
      </c>
      <c r="C10" s="0" t="s">
        <v>39</v>
      </c>
      <c r="D10" s="0" t="n">
        <v>1</v>
      </c>
      <c r="E10" s="0" t="s">
        <v>14</v>
      </c>
      <c r="G10" s="0" t="n">
        <f aca="false">D10*F10</f>
        <v>0</v>
      </c>
    </row>
    <row r="11" customFormat="false" ht="15" hidden="false" customHeight="false" outlineLevel="0" collapsed="false">
      <c r="A11" s="0" t="n">
        <v>10</v>
      </c>
      <c r="B11" s="0" t="s">
        <v>40</v>
      </c>
      <c r="C11" s="0" t="s">
        <v>41</v>
      </c>
      <c r="D11" s="0" t="n">
        <v>1</v>
      </c>
      <c r="E11" s="0" t="s">
        <v>14</v>
      </c>
      <c r="G11" s="0" t="n">
        <f aca="false">D11*F11</f>
        <v>0</v>
      </c>
    </row>
    <row r="12" customFormat="false" ht="15" hidden="false" customHeight="false" outlineLevel="0" collapsed="false">
      <c r="A12" s="0" t="n">
        <v>11</v>
      </c>
      <c r="E12" s="0" t="s">
        <v>14</v>
      </c>
      <c r="G12" s="0" t="n">
        <f aca="false">D12*F12</f>
        <v>0</v>
      </c>
    </row>
    <row r="13" customFormat="false" ht="15" hidden="false" customHeight="false" outlineLevel="0" collapsed="false">
      <c r="A13" s="0" t="n">
        <v>12</v>
      </c>
      <c r="E13" s="0" t="s">
        <v>14</v>
      </c>
      <c r="G13" s="0" t="n">
        <f aca="false">D13*F13</f>
        <v>0</v>
      </c>
    </row>
    <row r="14" customFormat="false" ht="15" hidden="false" customHeight="false" outlineLevel="0" collapsed="false">
      <c r="A14" s="0" t="n">
        <v>13</v>
      </c>
      <c r="E14" s="0" t="s">
        <v>14</v>
      </c>
      <c r="G14" s="0" t="n">
        <f aca="false">D14*F14</f>
        <v>0</v>
      </c>
    </row>
    <row r="15" customFormat="false" ht="15" hidden="false" customHeight="false" outlineLevel="0" collapsed="false">
      <c r="A15" s="0" t="n">
        <v>14</v>
      </c>
      <c r="E15" s="0" t="s">
        <v>14</v>
      </c>
      <c r="G15" s="0" t="n">
        <f aca="false">D15*F15</f>
        <v>0</v>
      </c>
    </row>
    <row r="16" customFormat="false" ht="15" hidden="false" customHeight="false" outlineLevel="0" collapsed="false">
      <c r="A16" s="0" t="n">
        <v>15</v>
      </c>
      <c r="E16" s="0" t="s">
        <v>14</v>
      </c>
      <c r="G16" s="0" t="n">
        <f aca="false">D16*F16</f>
        <v>0</v>
      </c>
    </row>
    <row r="17" customFormat="false" ht="15" hidden="false" customHeight="false" outlineLevel="0" collapsed="false">
      <c r="A17" s="0" t="n">
        <v>16</v>
      </c>
      <c r="E17" s="0" t="s">
        <v>14</v>
      </c>
      <c r="G17" s="0" t="n">
        <f aca="false">D17*F17</f>
        <v>0</v>
      </c>
    </row>
    <row r="18" customFormat="false" ht="15" hidden="false" customHeight="false" outlineLevel="0" collapsed="false">
      <c r="A18" s="0" t="n">
        <v>17</v>
      </c>
      <c r="E18" s="0" t="s">
        <v>14</v>
      </c>
      <c r="G18" s="0" t="n">
        <f aca="false">D18*F18</f>
        <v>0</v>
      </c>
    </row>
    <row r="19" customFormat="false" ht="15" hidden="false" customHeight="false" outlineLevel="0" collapsed="false">
      <c r="A19" s="0" t="n">
        <v>18</v>
      </c>
      <c r="E19" s="0" t="s">
        <v>14</v>
      </c>
      <c r="G19" s="0" t="n">
        <f aca="false">D19*F19</f>
        <v>0</v>
      </c>
    </row>
    <row r="20" customFormat="false" ht="15" hidden="false" customHeight="false" outlineLevel="0" collapsed="false">
      <c r="A20" s="0" t="n">
        <v>19</v>
      </c>
      <c r="E20" s="0" t="s">
        <v>14</v>
      </c>
      <c r="G20" s="0" t="n">
        <f aca="false">D20*F20</f>
        <v>0</v>
      </c>
    </row>
    <row r="21" customFormat="false" ht="15" hidden="false" customHeight="false" outlineLevel="0" collapsed="false">
      <c r="A21" s="0" t="n">
        <v>20</v>
      </c>
      <c r="E21" s="0" t="s">
        <v>14</v>
      </c>
      <c r="G21" s="0" t="n">
        <f aca="false">D21*F21</f>
        <v>0</v>
      </c>
    </row>
    <row r="22" customFormat="false" ht="15" hidden="false" customHeight="false" outlineLevel="0" collapsed="false">
      <c r="A22" s="0" t="n">
        <v>21</v>
      </c>
      <c r="E22" s="0" t="s">
        <v>14</v>
      </c>
      <c r="G22" s="0" t="n">
        <f aca="false">D22*F22</f>
        <v>0</v>
      </c>
    </row>
    <row r="23" customFormat="false" ht="15" hidden="false" customHeight="false" outlineLevel="0" collapsed="false">
      <c r="A23" s="0" t="n">
        <v>22</v>
      </c>
      <c r="G23" s="0" t="n">
        <f aca="false">D23*F23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2026-03-20T16:44:51Z</dcterms:created>
  <dc:creator>openpyxl</dc:creator>
  <dc:description/>
  <dc:language>fr-CA</dc:language>
  <cp:lastModifiedBy/>
  <dcterms:modified xsi:type="dcterms:W3CDTF">2026-04-09T20:29:17Z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